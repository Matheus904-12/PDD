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8bb485f1205244d/Escola/"/>
    </mc:Choice>
  </mc:AlternateContent>
  <xr:revisionPtr revIDLastSave="165" documentId="8_{DA27CDEC-73C1-48D7-A72C-CAEC51D84DCF}" xr6:coauthVersionLast="47" xr6:coauthVersionMax="47" xr10:uidLastSave="{B82E2424-153B-45E5-8AE7-E1AD63D6EA36}"/>
  <bookViews>
    <workbookView xWindow="-108" yWindow="-108" windowWidth="23256" windowHeight="12456" firstSheet="1" activeTab="1" xr2:uid="{0CC39421-ED8E-48EF-83B4-B0A6A91DC8BB}"/>
  </bookViews>
  <sheets>
    <sheet name="TabelaDinâmica" sheetId="6" r:id="rId1"/>
    <sheet name="Cadastro" sheetId="1" r:id="rId2"/>
    <sheet name="Pagamento" sheetId="7" r:id="rId3"/>
    <sheet name="Gráfico" sheetId="11" r:id="rId4"/>
    <sheet name="Tabela Dinâmica" sheetId="10" r:id="rId5"/>
  </sheets>
  <definedNames>
    <definedName name="_xlnm._FilterDatabase" localSheetId="2" hidden="1">Pagamento!$G$1:$I$15</definedName>
  </definedNames>
  <calcPr calcId="191028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1" l="1"/>
  <c r="F4" i="1"/>
  <c r="H6" i="7"/>
  <c r="I6" i="7" s="1"/>
  <c r="H7" i="7"/>
  <c r="I7" i="7" s="1"/>
  <c r="H8" i="7"/>
  <c r="H9" i="7"/>
  <c r="I9" i="7" s="1"/>
  <c r="H10" i="7"/>
  <c r="I10" i="7" s="1"/>
  <c r="H11" i="7"/>
  <c r="I11" i="7" s="1"/>
  <c r="H12" i="7"/>
  <c r="I12" i="7" s="1"/>
  <c r="H13" i="7"/>
  <c r="H14" i="7"/>
  <c r="I14" i="7" s="1"/>
  <c r="H15" i="7"/>
  <c r="K15" i="7" s="1"/>
  <c r="H2" i="7"/>
  <c r="I2" i="7" s="1"/>
  <c r="H3" i="7"/>
  <c r="I3" i="7" s="1"/>
  <c r="H4" i="7"/>
  <c r="I4" i="7" s="1"/>
  <c r="H5" i="7"/>
  <c r="I5" i="7" s="1"/>
  <c r="I8" i="7"/>
  <c r="I13" i="7"/>
  <c r="H1" i="7"/>
  <c r="I1" i="7" s="1"/>
  <c r="F5" i="1"/>
  <c r="F6" i="1"/>
  <c r="F14" i="1"/>
  <c r="F15" i="1"/>
  <c r="E3" i="7" l="1"/>
  <c r="E9" i="7" s="1"/>
  <c r="I15" i="7"/>
  <c r="E11" i="7" l="1"/>
  <c r="E7" i="7"/>
</calcChain>
</file>

<file path=xl/sharedStrings.xml><?xml version="1.0" encoding="utf-8"?>
<sst xmlns="http://schemas.openxmlformats.org/spreadsheetml/2006/main" count="173" uniqueCount="89">
  <si>
    <t>Cadastro do cliente</t>
  </si>
  <si>
    <t>Cadastro do veículo</t>
  </si>
  <si>
    <t>Cadastro de orçamento</t>
  </si>
  <si>
    <t>Bmw</t>
  </si>
  <si>
    <t>Porsche</t>
  </si>
  <si>
    <t>Ferrari</t>
  </si>
  <si>
    <t>Volvo</t>
  </si>
  <si>
    <t>Nome</t>
  </si>
  <si>
    <t>Telefone</t>
  </si>
  <si>
    <t>CPF</t>
  </si>
  <si>
    <t>Endereço</t>
  </si>
  <si>
    <t>Marca</t>
  </si>
  <si>
    <t>Modelo</t>
  </si>
  <si>
    <t>Placa</t>
  </si>
  <si>
    <t>Ano</t>
  </si>
  <si>
    <t>Quantidade</t>
  </si>
  <si>
    <t>Peça</t>
  </si>
  <si>
    <t>Valor</t>
  </si>
  <si>
    <t>Assinatura</t>
  </si>
  <si>
    <t>Matheus</t>
  </si>
  <si>
    <t>Rua Miguel</t>
  </si>
  <si>
    <t>M2</t>
  </si>
  <si>
    <t>GHR343</t>
  </si>
  <si>
    <t>Botões</t>
  </si>
  <si>
    <t>Karina</t>
  </si>
  <si>
    <t xml:space="preserve">Rua Ântonio </t>
  </si>
  <si>
    <t>812 SuperFast</t>
  </si>
  <si>
    <t>KEJ890</t>
  </si>
  <si>
    <t>Motor</t>
  </si>
  <si>
    <t>Vitória</t>
  </si>
  <si>
    <t>Rua Morro</t>
  </si>
  <si>
    <t>XC40</t>
  </si>
  <si>
    <t>F453O7</t>
  </si>
  <si>
    <t xml:space="preserve">Bancos </t>
  </si>
  <si>
    <t>Micael</t>
  </si>
  <si>
    <t>94566-5612</t>
  </si>
  <si>
    <t>985-879-091-92</t>
  </si>
  <si>
    <t>Rua Jorge</t>
  </si>
  <si>
    <t>PORSCHE</t>
  </si>
  <si>
    <t>Panamera</t>
  </si>
  <si>
    <t>321klç</t>
  </si>
  <si>
    <t>Freios</t>
  </si>
  <si>
    <t>Vanessa</t>
  </si>
  <si>
    <t>90760-4580</t>
  </si>
  <si>
    <t>456-789-123-44</t>
  </si>
  <si>
    <t xml:space="preserve">Rua Betânia </t>
  </si>
  <si>
    <t>FERRARI</t>
  </si>
  <si>
    <t>Puro Sangue</t>
  </si>
  <si>
    <t>AAT580</t>
  </si>
  <si>
    <t>Rodas</t>
  </si>
  <si>
    <t>Tarcísio</t>
  </si>
  <si>
    <t>97387-6579</t>
  </si>
  <si>
    <t>358-432-645-78</t>
  </si>
  <si>
    <t>Rua Luiz</t>
  </si>
  <si>
    <t>VOLVO</t>
  </si>
  <si>
    <t>XC90</t>
  </si>
  <si>
    <t>826fdh</t>
  </si>
  <si>
    <t>Heitor</t>
  </si>
  <si>
    <t>97780-2456</t>
  </si>
  <si>
    <t>789-793-643-00</t>
  </si>
  <si>
    <t>Rua da Carta</t>
  </si>
  <si>
    <t>BMW</t>
  </si>
  <si>
    <t>X1</t>
  </si>
  <si>
    <t>BJD567</t>
  </si>
  <si>
    <t>Baterias</t>
  </si>
  <si>
    <t>Marcos</t>
  </si>
  <si>
    <t>90489-2636</t>
  </si>
  <si>
    <t>Rua Durango</t>
  </si>
  <si>
    <t>Turbo S</t>
  </si>
  <si>
    <t>PKJ835</t>
  </si>
  <si>
    <t>Juliana</t>
  </si>
  <si>
    <t>92877-2830</t>
  </si>
  <si>
    <t>Rua Melina</t>
  </si>
  <si>
    <t>Portofino</t>
  </si>
  <si>
    <t>EEJEW</t>
  </si>
  <si>
    <t>Nome:</t>
  </si>
  <si>
    <t>Opções de Pagamento</t>
  </si>
  <si>
    <t>Brinde</t>
  </si>
  <si>
    <t>Rótulos de Linha</t>
  </si>
  <si>
    <t>Soma de Quantidade</t>
  </si>
  <si>
    <t>Soma de Valor</t>
  </si>
  <si>
    <t>Soma de Ano</t>
  </si>
  <si>
    <t>Total Geral</t>
  </si>
  <si>
    <t>Ana Luiza</t>
  </si>
  <si>
    <t>99955-2367</t>
  </si>
  <si>
    <t>789-123-456-70</t>
  </si>
  <si>
    <t>RXT-4024</t>
  </si>
  <si>
    <t>Lanternas Traseira</t>
  </si>
  <si>
    <t>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</si>
</sst>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#####\-####"/>
    <numFmt numFmtId="165" formatCode="###\-###\-###\-##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9">
    <xf numFmtId="0" fontId="0" fillId="0" borderId="0" xfId="0"/>
    <xf numFmtId="0" fontId="0" fillId="0" borderId="1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8" xfId="0" applyBorder="1"/>
    <xf numFmtId="0" fontId="0" fillId="0" borderId="7" xfId="0" applyBorder="1"/>
    <xf numFmtId="44" fontId="0" fillId="0" borderId="7" xfId="1" applyFont="1" applyBorder="1"/>
    <xf numFmtId="0" fontId="0" fillId="0" borderId="0" xfId="0" applyAlignment="1">
      <alignment horizontal="center"/>
    </xf>
    <xf numFmtId="0" fontId="0" fillId="0" borderId="10" xfId="0" applyBorder="1"/>
    <xf numFmtId="8" fontId="0" fillId="0" borderId="0" xfId="0" applyNumberFormat="1"/>
    <xf numFmtId="0" fontId="0" fillId="0" borderId="0" xfId="0" applyAlignment="1">
      <alignment horizontal="center" vertical="center"/>
    </xf>
    <xf numFmtId="9" fontId="0" fillId="0" borderId="0" xfId="2" applyFont="1"/>
    <xf numFmtId="0" fontId="0" fillId="0" borderId="7" xfId="0" applyBorder="1" applyAlignment="1">
      <alignment horizontal="center"/>
    </xf>
    <xf numFmtId="0" fontId="0" fillId="0" borderId="12" xfId="0" applyBorder="1"/>
    <xf numFmtId="44" fontId="0" fillId="0" borderId="12" xfId="1" applyFont="1" applyBorder="1"/>
    <xf numFmtId="49" fontId="0" fillId="0" borderId="7" xfId="0" applyNumberFormat="1" applyBorder="1"/>
    <xf numFmtId="0" fontId="2" fillId="2" borderId="10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0" borderId="5" xfId="0" applyBorder="1"/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2" fillId="4" borderId="20" xfId="0" applyFont="1" applyFill="1" applyBorder="1"/>
    <xf numFmtId="0" fontId="2" fillId="4" borderId="21" xfId="0" applyFont="1" applyFill="1" applyBorder="1"/>
    <xf numFmtId="0" fontId="2" fillId="4" borderId="22" xfId="0" applyFont="1" applyFill="1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2" fillId="5" borderId="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9" xfId="0" applyBorder="1" applyAlignment="1">
      <alignment horizontal="center"/>
    </xf>
    <xf numFmtId="44" fontId="0" fillId="0" borderId="9" xfId="1" applyFont="1" applyBorder="1" applyAlignment="1">
      <alignment horizontal="center"/>
    </xf>
    <xf numFmtId="44" fontId="0" fillId="0" borderId="7" xfId="1" applyFont="1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6" xfId="0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7" xfId="0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4" fontId="0" fillId="0" borderId="18" xfId="1" applyFont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  <xf numFmtId="0" fontId="0" fillId="0" borderId="2" xfId="0" pivotButton="1" applyBorder="1"/>
    <xf numFmtId="0" fontId="2" fillId="4" borderId="4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2"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[SENAI.xlsm]Gráfico!Tabela dinâmica3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Gráfico!$B$1</c:f>
              <c:strCache>
                <c:ptCount val="1"/>
                <c:pt idx="0">
                  <c:v>Soma de Quantidade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Gráfico!$A$2:$A$20</c:f>
              <c:multiLvlStrCache>
                <c:ptCount val="9"/>
                <c:lvl>
                  <c:pt idx="0">
                    <c:v>FERRARI</c:v>
                  </c:pt>
                  <c:pt idx="1">
                    <c:v>BMW</c:v>
                  </c:pt>
                  <c:pt idx="2">
                    <c:v>PORSCHE</c:v>
                  </c:pt>
                  <c:pt idx="3">
                    <c:v>FERRARI</c:v>
                  </c:pt>
                  <c:pt idx="4">
                    <c:v>FERRARI</c:v>
                  </c:pt>
                  <c:pt idx="5">
                    <c:v>PORSCHE</c:v>
                  </c:pt>
                  <c:pt idx="6">
                    <c:v>BMW</c:v>
                  </c:pt>
                  <c:pt idx="7">
                    <c:v>VOLVO</c:v>
                  </c:pt>
                  <c:pt idx="8">
                    <c:v>VOLVO</c:v>
                  </c:pt>
                </c:lvl>
                <c:lvl>
                  <c:pt idx="0">
                    <c:v>812 SuperFast</c:v>
                  </c:pt>
                  <c:pt idx="1">
                    <c:v>M2</c:v>
                  </c:pt>
                  <c:pt idx="2">
                    <c:v>Panamera</c:v>
                  </c:pt>
                  <c:pt idx="3">
                    <c:v>Portofino</c:v>
                  </c:pt>
                  <c:pt idx="4">
                    <c:v>Puro Sangue</c:v>
                  </c:pt>
                  <c:pt idx="5">
                    <c:v>Turbo S</c:v>
                  </c:pt>
                  <c:pt idx="6">
                    <c:v>X1</c:v>
                  </c:pt>
                  <c:pt idx="7">
                    <c:v>XC40</c:v>
                  </c:pt>
                  <c:pt idx="8">
                    <c:v>XC90</c:v>
                  </c:pt>
                </c:lvl>
              </c:multiLvlStrCache>
            </c:multiLvlStrRef>
          </c:cat>
          <c:val>
            <c:numRef>
              <c:f>Gráfico!$B$2:$B$20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4E-4007-B401-8E736DF8EE63}"/>
            </c:ext>
          </c:extLst>
        </c:ser>
        <c:ser>
          <c:idx val="1"/>
          <c:order val="1"/>
          <c:tx>
            <c:strRef>
              <c:f>Gráfico!$C$1</c:f>
              <c:strCache>
                <c:ptCount val="1"/>
                <c:pt idx="0">
                  <c:v>Soma de Valor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Gráfico!$A$2:$A$20</c:f>
              <c:multiLvlStrCache>
                <c:ptCount val="9"/>
                <c:lvl>
                  <c:pt idx="0">
                    <c:v>FERRARI</c:v>
                  </c:pt>
                  <c:pt idx="1">
                    <c:v>BMW</c:v>
                  </c:pt>
                  <c:pt idx="2">
                    <c:v>PORSCHE</c:v>
                  </c:pt>
                  <c:pt idx="3">
                    <c:v>FERRARI</c:v>
                  </c:pt>
                  <c:pt idx="4">
                    <c:v>FERRARI</c:v>
                  </c:pt>
                  <c:pt idx="5">
                    <c:v>PORSCHE</c:v>
                  </c:pt>
                  <c:pt idx="6">
                    <c:v>BMW</c:v>
                  </c:pt>
                  <c:pt idx="7">
                    <c:v>VOLVO</c:v>
                  </c:pt>
                  <c:pt idx="8">
                    <c:v>VOLVO</c:v>
                  </c:pt>
                </c:lvl>
                <c:lvl>
                  <c:pt idx="0">
                    <c:v>812 SuperFast</c:v>
                  </c:pt>
                  <c:pt idx="1">
                    <c:v>M2</c:v>
                  </c:pt>
                  <c:pt idx="2">
                    <c:v>Panamera</c:v>
                  </c:pt>
                  <c:pt idx="3">
                    <c:v>Portofino</c:v>
                  </c:pt>
                  <c:pt idx="4">
                    <c:v>Puro Sangue</c:v>
                  </c:pt>
                  <c:pt idx="5">
                    <c:v>Turbo S</c:v>
                  </c:pt>
                  <c:pt idx="6">
                    <c:v>X1</c:v>
                  </c:pt>
                  <c:pt idx="7">
                    <c:v>XC40</c:v>
                  </c:pt>
                  <c:pt idx="8">
                    <c:v>XC90</c:v>
                  </c:pt>
                </c:lvl>
              </c:multiLvlStrCache>
            </c:multiLvlStrRef>
          </c:cat>
          <c:val>
            <c:numRef>
              <c:f>Gráfico!$C$2:$C$20</c:f>
              <c:numCache>
                <c:formatCode>General</c:formatCode>
                <c:ptCount val="9"/>
                <c:pt idx="0">
                  <c:v>9999</c:v>
                </c:pt>
                <c:pt idx="1">
                  <c:v>499</c:v>
                </c:pt>
                <c:pt idx="2">
                  <c:v>783</c:v>
                </c:pt>
                <c:pt idx="3">
                  <c:v>79999</c:v>
                </c:pt>
                <c:pt idx="4">
                  <c:v>8000</c:v>
                </c:pt>
                <c:pt idx="5">
                  <c:v>2350</c:v>
                </c:pt>
                <c:pt idx="6">
                  <c:v>3400</c:v>
                </c:pt>
                <c:pt idx="7">
                  <c:v>599</c:v>
                </c:pt>
                <c:pt idx="8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E-4007-B401-8E736DF8EE63}"/>
            </c:ext>
          </c:extLst>
        </c:ser>
        <c:ser>
          <c:idx val="2"/>
          <c:order val="2"/>
          <c:tx>
            <c:strRef>
              <c:f>Gráfico!$D$1</c:f>
              <c:strCache>
                <c:ptCount val="1"/>
                <c:pt idx="0">
                  <c:v>Soma de Ano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Gráfico!$A$2:$A$20</c:f>
              <c:multiLvlStrCache>
                <c:ptCount val="9"/>
                <c:lvl>
                  <c:pt idx="0">
                    <c:v>FERRARI</c:v>
                  </c:pt>
                  <c:pt idx="1">
                    <c:v>BMW</c:v>
                  </c:pt>
                  <c:pt idx="2">
                    <c:v>PORSCHE</c:v>
                  </c:pt>
                  <c:pt idx="3">
                    <c:v>FERRARI</c:v>
                  </c:pt>
                  <c:pt idx="4">
                    <c:v>FERRARI</c:v>
                  </c:pt>
                  <c:pt idx="5">
                    <c:v>PORSCHE</c:v>
                  </c:pt>
                  <c:pt idx="6">
                    <c:v>BMW</c:v>
                  </c:pt>
                  <c:pt idx="7">
                    <c:v>VOLVO</c:v>
                  </c:pt>
                  <c:pt idx="8">
                    <c:v>VOLVO</c:v>
                  </c:pt>
                </c:lvl>
                <c:lvl>
                  <c:pt idx="0">
                    <c:v>812 SuperFast</c:v>
                  </c:pt>
                  <c:pt idx="1">
                    <c:v>M2</c:v>
                  </c:pt>
                  <c:pt idx="2">
                    <c:v>Panamera</c:v>
                  </c:pt>
                  <c:pt idx="3">
                    <c:v>Portofino</c:v>
                  </c:pt>
                  <c:pt idx="4">
                    <c:v>Puro Sangue</c:v>
                  </c:pt>
                  <c:pt idx="5">
                    <c:v>Turbo S</c:v>
                  </c:pt>
                  <c:pt idx="6">
                    <c:v>X1</c:v>
                  </c:pt>
                  <c:pt idx="7">
                    <c:v>XC40</c:v>
                  </c:pt>
                  <c:pt idx="8">
                    <c:v>XC90</c:v>
                  </c:pt>
                </c:lvl>
              </c:multiLvlStrCache>
            </c:multiLvlStrRef>
          </c:cat>
          <c:val>
            <c:numRef>
              <c:f>Gráfico!$D$2:$D$20</c:f>
              <c:numCache>
                <c:formatCode>General</c:formatCode>
                <c:ptCount val="9"/>
                <c:pt idx="0">
                  <c:v>2020</c:v>
                </c:pt>
                <c:pt idx="1">
                  <c:v>2020</c:v>
                </c:pt>
                <c:pt idx="2">
                  <c:v>2020</c:v>
                </c:pt>
                <c:pt idx="3">
                  <c:v>2018</c:v>
                </c:pt>
                <c:pt idx="4">
                  <c:v>2022</c:v>
                </c:pt>
                <c:pt idx="5">
                  <c:v>2019</c:v>
                </c:pt>
                <c:pt idx="6">
                  <c:v>2023</c:v>
                </c:pt>
                <c:pt idx="7">
                  <c:v>2021</c:v>
                </c:pt>
                <c:pt idx="8">
                  <c:v>2021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4E-4007-B401-8E736DF8E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387328"/>
        <c:axId val="111863808"/>
      </c:barChart>
      <c:catAx>
        <c:axId val="11838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863808"/>
        <c:crosses val="autoZero"/>
        <c:auto val="1"/>
        <c:lblAlgn val="ctr"/>
        <c:lblOffset val="100"/>
        <c:noMultiLvlLbl val="0"/>
      </c:catAx>
      <c:valAx>
        <c:axId val="11186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387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$M$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Style="combo" dx="22" fmlaLink="$L$1" fmlaRange="Cadastro!$B$4:$B$15" noThreeD="1" sel="1" val="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434340</xdr:colOff>
          <xdr:row>15</xdr:row>
          <xdr:rowOff>175260</xdr:rowOff>
        </xdr:from>
        <xdr:to>
          <xdr:col>3</xdr:col>
          <xdr:colOff>266700</xdr:colOff>
          <xdr:row>18</xdr:row>
          <xdr:rowOff>15240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160020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121" name="Option 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Á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175260</xdr:rowOff>
        </xdr:from>
        <xdr:to>
          <xdr:col>3</xdr:col>
          <xdr:colOff>1074420</xdr:colOff>
          <xdr:row>9</xdr:row>
          <xdr:rowOff>0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1+11 parcelas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7620</xdr:rowOff>
        </xdr:from>
        <xdr:to>
          <xdr:col>5</xdr:col>
          <xdr:colOff>0</xdr:colOff>
          <xdr:row>1</xdr:row>
          <xdr:rowOff>22860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</xdr:colOff>
      <xdr:row>0</xdr:row>
      <xdr:rowOff>0</xdr:rowOff>
    </xdr:from>
    <xdr:to>
      <xdr:col>16</xdr:col>
      <xdr:colOff>129540</xdr:colOff>
      <xdr:row>19</xdr:row>
      <xdr:rowOff>160020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eus Lucindo" refreshedDate="45030.411106250001" createdVersion="8" refreshedVersion="8" minRefreshableVersion="3" recordCount="9" xr:uid="{CBE277B6-181F-4E9D-B588-688DF908AF16}">
  <cacheSource type="worksheet">
    <worksheetSource ref="B3:L12" sheet="Cadastro"/>
  </cacheSource>
  <cacheFields count="11">
    <cacheField name="Nome" numFmtId="0">
      <sharedItems count="9">
        <s v="Matheus"/>
        <s v="Karina"/>
        <s v="Vitória"/>
        <s v="Micael"/>
        <s v="Vanessa"/>
        <s v="Tarcísio"/>
        <s v="Heitor"/>
        <s v="Marcos"/>
        <s v="Juliana"/>
      </sharedItems>
    </cacheField>
    <cacheField name="Telefone" numFmtId="164">
      <sharedItems containsMixedTypes="1" containsNumber="1" containsInteger="1" minValue="444455555" maxValue="987358145" count="9">
        <n v="444455555"/>
        <n v="987358145"/>
        <n v="987355846"/>
        <s v="94566-5612"/>
        <s v="90760-4580"/>
        <s v="97387-6579"/>
        <s v="97780-2456"/>
        <s v="90489-2636"/>
        <s v="92877-2830"/>
      </sharedItems>
    </cacheField>
    <cacheField name="CPF" numFmtId="165">
      <sharedItems containsMixedTypes="1" containsNumber="1" containsInteger="1" minValue="65987425684" maxValue="98612475866" count="7">
        <n v="77788899955"/>
        <n v="65987425684"/>
        <n v="98612475866"/>
        <s v="985-879-091-92"/>
        <s v="456-789-123-44"/>
        <s v="358-432-645-78"/>
        <s v="789-793-643-00"/>
      </sharedItems>
    </cacheField>
    <cacheField name="Endereço" numFmtId="0">
      <sharedItems count="9">
        <s v="Rua Miguel"/>
        <s v="Rua Ântonio "/>
        <s v="Rua Morro"/>
        <s v="Rua Jorge"/>
        <s v="Rua Betânia "/>
        <s v="Rua Luiz"/>
        <s v="Rua da Carta"/>
        <s v="Rua Durango"/>
        <s v="Rua Melina"/>
      </sharedItems>
    </cacheField>
    <cacheField name="Marca" numFmtId="0">
      <sharedItems count="4">
        <s v="BMW"/>
        <s v="FERRARI"/>
        <s v="VOLVO"/>
        <s v="PORSCHE"/>
      </sharedItems>
    </cacheField>
    <cacheField name="Modelo" numFmtId="0">
      <sharedItems count="9">
        <s v="M2"/>
        <s v="812 SuperFast"/>
        <s v="XC40"/>
        <s v="Panamera"/>
        <s v="Puro Sangue"/>
        <s v="XC90"/>
        <s v="X1"/>
        <s v="Turbo S"/>
        <s v="Portofino"/>
      </sharedItems>
    </cacheField>
    <cacheField name="Placa" numFmtId="0">
      <sharedItems count="9">
        <s v="GHR343"/>
        <s v="KEJ890"/>
        <s v="F453O7"/>
        <s v="321klç"/>
        <s v="AAT580"/>
        <s v="826fdh"/>
        <s v="BJD567"/>
        <s v="PKJ835"/>
        <s v="EEJEW"/>
      </sharedItems>
    </cacheField>
    <cacheField name="Ano" numFmtId="0">
      <sharedItems containsSemiMixedTypes="0" containsString="0" containsNumber="1" containsInteger="1" minValue="2018" maxValue="2023"/>
    </cacheField>
    <cacheField name="Quantidade" numFmtId="0">
      <sharedItems containsSemiMixedTypes="0" containsString="0" containsNumber="1" containsInteger="1" minValue="1" maxValue="4"/>
    </cacheField>
    <cacheField name="Peça" numFmtId="0">
      <sharedItems count="6">
        <s v="Botões"/>
        <s v="Motor"/>
        <s v="Bancos "/>
        <s v="Freios"/>
        <s v="Rodas"/>
        <s v="Baterias"/>
      </sharedItems>
    </cacheField>
    <cacheField name="Valor" numFmtId="44">
      <sharedItems containsSemiMixedTypes="0" containsString="0" containsNumber="1" containsInteger="1" minValue="499" maxValue="7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x v="0"/>
    <x v="0"/>
    <x v="0"/>
    <x v="0"/>
    <n v="2020"/>
    <n v="2"/>
    <x v="0"/>
    <n v="499"/>
  </r>
  <r>
    <x v="1"/>
    <x v="1"/>
    <x v="1"/>
    <x v="1"/>
    <x v="1"/>
    <x v="1"/>
    <x v="1"/>
    <n v="2020"/>
    <n v="1"/>
    <x v="1"/>
    <n v="9999"/>
  </r>
  <r>
    <x v="2"/>
    <x v="2"/>
    <x v="2"/>
    <x v="2"/>
    <x v="2"/>
    <x v="2"/>
    <x v="2"/>
    <n v="2021"/>
    <n v="2"/>
    <x v="2"/>
    <n v="599"/>
  </r>
  <r>
    <x v="3"/>
    <x v="3"/>
    <x v="3"/>
    <x v="3"/>
    <x v="3"/>
    <x v="3"/>
    <x v="3"/>
    <n v="2020"/>
    <n v="4"/>
    <x v="3"/>
    <n v="783"/>
  </r>
  <r>
    <x v="4"/>
    <x v="4"/>
    <x v="4"/>
    <x v="4"/>
    <x v="1"/>
    <x v="4"/>
    <x v="4"/>
    <n v="2022"/>
    <n v="2"/>
    <x v="4"/>
    <n v="8000"/>
  </r>
  <r>
    <x v="5"/>
    <x v="5"/>
    <x v="5"/>
    <x v="5"/>
    <x v="2"/>
    <x v="5"/>
    <x v="5"/>
    <n v="2021"/>
    <n v="1"/>
    <x v="4"/>
    <n v="65000"/>
  </r>
  <r>
    <x v="6"/>
    <x v="6"/>
    <x v="6"/>
    <x v="6"/>
    <x v="0"/>
    <x v="6"/>
    <x v="6"/>
    <n v="2023"/>
    <n v="1"/>
    <x v="5"/>
    <n v="3400"/>
  </r>
  <r>
    <x v="7"/>
    <x v="7"/>
    <x v="5"/>
    <x v="7"/>
    <x v="3"/>
    <x v="7"/>
    <x v="7"/>
    <n v="2019"/>
    <n v="2"/>
    <x v="3"/>
    <n v="2350"/>
  </r>
  <r>
    <x v="8"/>
    <x v="8"/>
    <x v="5"/>
    <x v="8"/>
    <x v="1"/>
    <x v="8"/>
    <x v="8"/>
    <n v="2018"/>
    <n v="1"/>
    <x v="1"/>
    <n v="7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8A0FC6-7B58-4C2B-A1EA-92367E5D3EE7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1:D20" firstHeaderRow="0" firstDataRow="1" firstDataCol="1"/>
  <pivotFields count="11">
    <pivotField showAll="0"/>
    <pivotField showAll="0"/>
    <pivotField showAll="0"/>
    <pivotField showAll="0"/>
    <pivotField axis="axisRow" showAll="0">
      <items count="5">
        <item x="0"/>
        <item x="1"/>
        <item x="3"/>
        <item x="2"/>
        <item t="default"/>
      </items>
    </pivotField>
    <pivotField axis="axisRow" showAll="0">
      <items count="10">
        <item x="1"/>
        <item x="0"/>
        <item x="3"/>
        <item x="8"/>
        <item x="4"/>
        <item x="7"/>
        <item x="6"/>
        <item x="2"/>
        <item x="5"/>
        <item t="default"/>
      </items>
    </pivotField>
    <pivotField showAll="0"/>
    <pivotField dataField="1" showAll="0"/>
    <pivotField dataField="1" showAll="0"/>
    <pivotField showAll="0"/>
    <pivotField dataField="1" numFmtId="44" showAll="0"/>
  </pivotFields>
  <rowFields count="2">
    <field x="5"/>
    <field x="4"/>
  </rowFields>
  <rowItems count="19">
    <i>
      <x/>
    </i>
    <i r="1">
      <x v="1"/>
    </i>
    <i>
      <x v="1"/>
    </i>
    <i r="1">
      <x/>
    </i>
    <i>
      <x v="2"/>
    </i>
    <i r="1">
      <x v="2"/>
    </i>
    <i>
      <x v="3"/>
    </i>
    <i r="1">
      <x v="1"/>
    </i>
    <i>
      <x v="4"/>
    </i>
    <i r="1">
      <x v="1"/>
    </i>
    <i>
      <x v="5"/>
    </i>
    <i r="1">
      <x v="2"/>
    </i>
    <i>
      <x v="6"/>
    </i>
    <i r="1">
      <x/>
    </i>
    <i>
      <x v="7"/>
    </i>
    <i r="1">
      <x v="3"/>
    </i>
    <i>
      <x v="8"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8" baseField="0" baseItem="0"/>
    <dataField name="Soma de Valor" fld="10" baseField="0" baseItem="0"/>
    <dataField name="Soma de Ano" fld="7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54E6D1-20BD-4169-A1D0-2087351E5CEE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D58" firstHeaderRow="0" firstDataRow="1" firstDataCol="1"/>
  <pivotFields count="11">
    <pivotField axis="axisRow" showAll="0">
      <items count="10">
        <item x="6"/>
        <item x="8"/>
        <item x="1"/>
        <item x="7"/>
        <item x="0"/>
        <item x="3"/>
        <item x="5"/>
        <item x="4"/>
        <item x="2"/>
        <item t="default"/>
      </items>
    </pivotField>
    <pivotField axis="axisRow" showAll="0">
      <items count="10">
        <item x="0"/>
        <item x="2"/>
        <item x="1"/>
        <item x="7"/>
        <item x="4"/>
        <item x="8"/>
        <item x="3"/>
        <item x="5"/>
        <item x="6"/>
        <item t="default"/>
      </items>
    </pivotField>
    <pivotField showAll="0">
      <items count="8">
        <item x="1"/>
        <item x="0"/>
        <item x="2"/>
        <item x="5"/>
        <item x="4"/>
        <item x="6"/>
        <item x="3"/>
        <item t="default"/>
      </items>
    </pivotField>
    <pivotField showAll="0">
      <items count="10">
        <item x="1"/>
        <item x="4"/>
        <item x="6"/>
        <item x="7"/>
        <item x="3"/>
        <item x="5"/>
        <item x="8"/>
        <item x="0"/>
        <item x="2"/>
        <item t="default"/>
      </items>
    </pivotField>
    <pivotField axis="axisRow" showAll="0">
      <items count="5">
        <item x="0"/>
        <item x="1"/>
        <item x="3"/>
        <item x="2"/>
        <item t="default"/>
      </items>
    </pivotField>
    <pivotField axis="axisRow" showAll="0">
      <items count="10">
        <item x="1"/>
        <item x="0"/>
        <item x="3"/>
        <item x="8"/>
        <item x="4"/>
        <item x="7"/>
        <item x="6"/>
        <item x="2"/>
        <item x="5"/>
        <item t="default"/>
      </items>
    </pivotField>
    <pivotField axis="axisRow" showAll="0">
      <items count="10">
        <item x="3"/>
        <item x="5"/>
        <item x="4"/>
        <item x="6"/>
        <item x="8"/>
        <item x="2"/>
        <item x="0"/>
        <item x="1"/>
        <item x="7"/>
        <item t="default"/>
      </items>
    </pivotField>
    <pivotField dataField="1" showAll="0"/>
    <pivotField dataField="1" showAll="0"/>
    <pivotField axis="axisRow" showAll="0">
      <items count="7">
        <item x="2"/>
        <item x="5"/>
        <item x="0"/>
        <item x="3"/>
        <item x="1"/>
        <item x="4"/>
        <item t="default"/>
      </items>
    </pivotField>
    <pivotField dataField="1" numFmtId="44" showAll="0"/>
  </pivotFields>
  <rowFields count="6">
    <field x="0"/>
    <field x="4"/>
    <field x="5"/>
    <field x="6"/>
    <field x="9"/>
    <field x="1"/>
  </rowFields>
  <rowItems count="55">
    <i>
      <x/>
    </i>
    <i r="1">
      <x/>
    </i>
    <i r="2">
      <x v="6"/>
    </i>
    <i r="3">
      <x v="3"/>
    </i>
    <i r="4">
      <x v="1"/>
    </i>
    <i r="5">
      <x v="8"/>
    </i>
    <i>
      <x v="1"/>
    </i>
    <i r="1">
      <x v="1"/>
    </i>
    <i r="2">
      <x v="3"/>
    </i>
    <i r="3">
      <x v="4"/>
    </i>
    <i r="4">
      <x v="4"/>
    </i>
    <i r="5">
      <x v="5"/>
    </i>
    <i>
      <x v="2"/>
    </i>
    <i r="1">
      <x v="1"/>
    </i>
    <i r="2">
      <x/>
    </i>
    <i r="3">
      <x v="7"/>
    </i>
    <i r="4">
      <x v="4"/>
    </i>
    <i r="5">
      <x v="2"/>
    </i>
    <i>
      <x v="3"/>
    </i>
    <i r="1">
      <x v="2"/>
    </i>
    <i r="2">
      <x v="5"/>
    </i>
    <i r="3">
      <x v="8"/>
    </i>
    <i r="4">
      <x v="3"/>
    </i>
    <i r="5">
      <x v="3"/>
    </i>
    <i>
      <x v="4"/>
    </i>
    <i r="1">
      <x/>
    </i>
    <i r="2">
      <x v="1"/>
    </i>
    <i r="3">
      <x v="6"/>
    </i>
    <i r="4">
      <x v="2"/>
    </i>
    <i r="5">
      <x/>
    </i>
    <i>
      <x v="5"/>
    </i>
    <i r="1">
      <x v="2"/>
    </i>
    <i r="2">
      <x v="2"/>
    </i>
    <i r="3">
      <x/>
    </i>
    <i r="4">
      <x v="3"/>
    </i>
    <i r="5">
      <x v="6"/>
    </i>
    <i>
      <x v="6"/>
    </i>
    <i r="1">
      <x v="3"/>
    </i>
    <i r="2">
      <x v="8"/>
    </i>
    <i r="3">
      <x v="1"/>
    </i>
    <i r="4">
      <x v="5"/>
    </i>
    <i r="5">
      <x v="7"/>
    </i>
    <i>
      <x v="7"/>
    </i>
    <i r="1">
      <x v="1"/>
    </i>
    <i r="2">
      <x v="4"/>
    </i>
    <i r="3">
      <x v="2"/>
    </i>
    <i r="4">
      <x v="5"/>
    </i>
    <i r="5">
      <x v="4"/>
    </i>
    <i>
      <x v="8"/>
    </i>
    <i r="1">
      <x v="3"/>
    </i>
    <i r="2">
      <x v="7"/>
    </i>
    <i r="3">
      <x v="5"/>
    </i>
    <i r="4">
      <x/>
    </i>
    <i r="5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Valor" fld="10" baseField="0" baseItem="0"/>
    <dataField name="Soma de Quantidade" fld="8" baseField="0" baseItem="0"/>
    <dataField name="Soma de Ano" fld="7" baseField="0" baseItem="0"/>
  </dataFields>
  <formats count="2">
    <format dxfId="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0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A05F4-2C29-47A4-966E-8D2BF4C599BC}">
  <sheetPr codeName="Planilha6"/>
  <dimension ref="A1"/>
  <sheetViews>
    <sheetView workbookViewId="0"/>
  </sheetViews>
  <sheetFormatPr defaultRowHeight="14.4" x14ac:dyDescent="0.3"/>
  <cols>
    <col min="1" max="1" width="17.33203125" bestFit="1" customWidth="1"/>
    <col min="2" max="2" width="16.33203125" bestFit="1" customWidth="1"/>
    <col min="3" max="4" width="13.33203125" bestFit="1" customWidth="1"/>
    <col min="5" max="5" width="16.33203125" bestFit="1" customWidth="1"/>
    <col min="6" max="6" width="13.33203125" bestFit="1" customWidth="1"/>
    <col min="7" max="7" width="21" bestFit="1" customWidth="1"/>
    <col min="8" max="8" width="23.6640625" bestFit="1" customWidth="1"/>
    <col min="9" max="9" width="17" bestFit="1" customWidth="1"/>
    <col min="10" max="10" width="16.6640625" bestFit="1" customWidth="1"/>
    <col min="11" max="11" width="18.109375" bestFit="1" customWidth="1"/>
  </cols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D0366-9846-450B-95D4-0007239B8235}">
  <sheetPr codeName="Planilha1"/>
  <dimension ref="B1:R15"/>
  <sheetViews>
    <sheetView tabSelected="1" zoomScaleNormal="100" workbookViewId="0">
      <selection activeCell="F13" sqref="F13"/>
    </sheetView>
  </sheetViews>
  <sheetFormatPr defaultRowHeight="14.4" x14ac:dyDescent="0.3"/>
  <cols>
    <col min="1" max="1" width="2.6640625" customWidth="1"/>
    <col min="2" max="2" width="10.109375" bestFit="1" customWidth="1"/>
    <col min="3" max="3" width="14.6640625" customWidth="1"/>
    <col min="4" max="4" width="22.5546875" customWidth="1"/>
    <col min="5" max="5" width="18.33203125" customWidth="1"/>
    <col min="6" max="6" width="13.88671875" customWidth="1"/>
    <col min="7" max="7" width="12.33203125" bestFit="1" customWidth="1"/>
    <col min="10" max="10" width="11.44140625" customWidth="1"/>
    <col min="11" max="11" width="15.33203125" bestFit="1" customWidth="1"/>
    <col min="12" max="12" width="12.88671875" bestFit="1" customWidth="1"/>
    <col min="13" max="13" width="10.33203125" bestFit="1" customWidth="1"/>
    <col min="15" max="18" width="12.44140625" bestFit="1" customWidth="1"/>
  </cols>
  <sheetData>
    <row r="1" spans="2:18" ht="15" thickBot="1" x14ac:dyDescent="0.35"/>
    <row r="2" spans="2:18" ht="15" thickBot="1" x14ac:dyDescent="0.35">
      <c r="B2" s="63" t="s">
        <v>0</v>
      </c>
      <c r="C2" s="64"/>
      <c r="D2" s="64"/>
      <c r="E2" s="64"/>
      <c r="F2" s="63" t="s">
        <v>1</v>
      </c>
      <c r="G2" s="64"/>
      <c r="H2" s="64"/>
      <c r="I2" s="65"/>
      <c r="J2" s="66" t="s">
        <v>2</v>
      </c>
      <c r="K2" s="67"/>
      <c r="L2" s="68"/>
      <c r="M2" s="20"/>
      <c r="O2" s="24" t="s">
        <v>3</v>
      </c>
      <c r="P2" s="25" t="s">
        <v>4</v>
      </c>
      <c r="Q2" s="25" t="s">
        <v>5</v>
      </c>
      <c r="R2" s="26" t="s">
        <v>6</v>
      </c>
    </row>
    <row r="3" spans="2:18" ht="15" thickBot="1" x14ac:dyDescent="0.35">
      <c r="B3" s="54" t="s">
        <v>7</v>
      </c>
      <c r="C3" s="55" t="s">
        <v>8</v>
      </c>
      <c r="D3" s="55" t="s">
        <v>9</v>
      </c>
      <c r="E3" s="56" t="s">
        <v>10</v>
      </c>
      <c r="F3" s="32" t="s">
        <v>11</v>
      </c>
      <c r="G3" s="33" t="s">
        <v>12</v>
      </c>
      <c r="H3" s="33" t="s">
        <v>13</v>
      </c>
      <c r="I3" s="34" t="s">
        <v>14</v>
      </c>
      <c r="J3" s="32" t="s">
        <v>15</v>
      </c>
      <c r="K3" s="33" t="s">
        <v>16</v>
      </c>
      <c r="L3" s="34" t="s">
        <v>17</v>
      </c>
      <c r="M3" s="33" t="s">
        <v>18</v>
      </c>
      <c r="O3" s="27" t="b">
        <v>1</v>
      </c>
      <c r="P3" s="28" t="b">
        <v>0</v>
      </c>
      <c r="Q3" s="28" t="b">
        <v>0</v>
      </c>
      <c r="R3" s="29" t="b">
        <v>0</v>
      </c>
    </row>
    <row r="4" spans="2:18" x14ac:dyDescent="0.3">
      <c r="B4" s="35" t="s">
        <v>19</v>
      </c>
      <c r="C4" s="40">
        <v>444455555</v>
      </c>
      <c r="D4" s="41">
        <v>77788899955</v>
      </c>
      <c r="E4" s="42" t="s">
        <v>20</v>
      </c>
      <c r="F4" s="35" t="str">
        <f>IF(O3=TRUE,"BMW",IF(P3=TRUE,"PORSCHE",IF(Q3=TRUE,"FERRARI",IF(R3=TRUE,"VOLVO",""))))</f>
        <v>BMW</v>
      </c>
      <c r="G4" s="36" t="s">
        <v>21</v>
      </c>
      <c r="H4" s="36" t="s">
        <v>22</v>
      </c>
      <c r="I4" s="36">
        <v>2020</v>
      </c>
      <c r="J4" s="36">
        <v>2</v>
      </c>
      <c r="K4" s="36" t="s">
        <v>23</v>
      </c>
      <c r="L4" s="37">
        <v>499</v>
      </c>
      <c r="M4" s="42"/>
      <c r="N4" s="7"/>
      <c r="O4" s="30" t="b">
        <v>0</v>
      </c>
      <c r="P4" s="5" t="b">
        <v>0</v>
      </c>
      <c r="Q4" s="5" t="b">
        <v>1</v>
      </c>
      <c r="R4" s="21" t="b">
        <v>0</v>
      </c>
    </row>
    <row r="5" spans="2:18" x14ac:dyDescent="0.3">
      <c r="B5" s="43" t="s">
        <v>24</v>
      </c>
      <c r="C5" s="44">
        <v>987358145</v>
      </c>
      <c r="D5" s="45">
        <v>65987425684</v>
      </c>
      <c r="E5" s="46" t="s">
        <v>25</v>
      </c>
      <c r="F5" s="35" t="str">
        <f t="shared" ref="F5:F15" si="0">IF(O4=TRUE,"BMW",IF(P4=TRUE,"PORSCHE",IF(Q4=TRUE,"FERRARI",IF(R4=TRUE,"VOLVO",""))))</f>
        <v>FERRARI</v>
      </c>
      <c r="G5" s="12" t="s">
        <v>26</v>
      </c>
      <c r="H5" s="12" t="s">
        <v>27</v>
      </c>
      <c r="I5" s="12">
        <v>2020</v>
      </c>
      <c r="J5" s="12">
        <v>1</v>
      </c>
      <c r="K5" s="12" t="s">
        <v>28</v>
      </c>
      <c r="L5" s="38">
        <v>9999</v>
      </c>
      <c r="M5" s="46"/>
      <c r="N5" s="7"/>
      <c r="O5" s="30" t="b">
        <v>0</v>
      </c>
      <c r="P5" s="5" t="b">
        <v>0</v>
      </c>
      <c r="Q5" s="5" t="b">
        <v>0</v>
      </c>
      <c r="R5" s="21" t="b">
        <v>1</v>
      </c>
    </row>
    <row r="6" spans="2:18" x14ac:dyDescent="0.3">
      <c r="B6" s="43" t="s">
        <v>29</v>
      </c>
      <c r="C6" s="44">
        <v>987355846</v>
      </c>
      <c r="D6" s="45">
        <v>98612475866</v>
      </c>
      <c r="E6" s="46" t="s">
        <v>30</v>
      </c>
      <c r="F6" s="35" t="str">
        <f t="shared" si="0"/>
        <v>VOLVO</v>
      </c>
      <c r="G6" s="12" t="s">
        <v>31</v>
      </c>
      <c r="H6" s="12" t="s">
        <v>32</v>
      </c>
      <c r="I6" s="12">
        <v>2021</v>
      </c>
      <c r="J6" s="12">
        <v>2</v>
      </c>
      <c r="K6" s="12" t="s">
        <v>33</v>
      </c>
      <c r="L6" s="38">
        <v>599</v>
      </c>
      <c r="M6" s="46"/>
      <c r="N6" s="7"/>
      <c r="O6" s="30" t="b">
        <v>0</v>
      </c>
      <c r="P6" s="5" t="b">
        <v>0</v>
      </c>
      <c r="Q6" s="5" t="b">
        <v>1</v>
      </c>
      <c r="R6" s="21" t="b">
        <v>0</v>
      </c>
    </row>
    <row r="7" spans="2:18" x14ac:dyDescent="0.3">
      <c r="B7" s="43" t="s">
        <v>34</v>
      </c>
      <c r="C7" s="44" t="s">
        <v>35</v>
      </c>
      <c r="D7" s="45" t="s">
        <v>36</v>
      </c>
      <c r="E7" s="46" t="s">
        <v>37</v>
      </c>
      <c r="F7" s="35" t="s">
        <v>38</v>
      </c>
      <c r="G7" s="12" t="s">
        <v>39</v>
      </c>
      <c r="H7" s="12" t="s">
        <v>40</v>
      </c>
      <c r="I7" s="12">
        <v>2020</v>
      </c>
      <c r="J7" s="12">
        <v>4</v>
      </c>
      <c r="K7" s="12" t="s">
        <v>41</v>
      </c>
      <c r="L7" s="38">
        <v>783</v>
      </c>
      <c r="M7" s="46"/>
      <c r="N7" s="7"/>
      <c r="O7" s="30" t="b">
        <v>1</v>
      </c>
      <c r="P7" s="5" t="b">
        <v>0</v>
      </c>
      <c r="Q7" s="5" t="b">
        <v>0</v>
      </c>
      <c r="R7" s="21" t="b">
        <v>0</v>
      </c>
    </row>
    <row r="8" spans="2:18" x14ac:dyDescent="0.3">
      <c r="B8" s="43" t="s">
        <v>42</v>
      </c>
      <c r="C8" s="44" t="s">
        <v>43</v>
      </c>
      <c r="D8" s="45" t="s">
        <v>44</v>
      </c>
      <c r="E8" s="46" t="s">
        <v>45</v>
      </c>
      <c r="F8" s="35" t="s">
        <v>46</v>
      </c>
      <c r="G8" s="12" t="s">
        <v>47</v>
      </c>
      <c r="H8" s="12" t="s">
        <v>48</v>
      </c>
      <c r="I8" s="12">
        <v>2022</v>
      </c>
      <c r="J8" s="12">
        <v>2</v>
      </c>
      <c r="K8" s="12" t="s">
        <v>49</v>
      </c>
      <c r="L8" s="38">
        <v>8000</v>
      </c>
      <c r="M8" s="46"/>
      <c r="N8" s="7"/>
      <c r="O8" s="30" t="b">
        <v>1</v>
      </c>
      <c r="P8" s="5" t="b">
        <v>0</v>
      </c>
      <c r="Q8" s="5" t="b">
        <v>0</v>
      </c>
      <c r="R8" s="21" t="b">
        <v>0</v>
      </c>
    </row>
    <row r="9" spans="2:18" x14ac:dyDescent="0.3">
      <c r="B9" s="43" t="s">
        <v>50</v>
      </c>
      <c r="C9" s="44" t="s">
        <v>51</v>
      </c>
      <c r="D9" s="45" t="s">
        <v>52</v>
      </c>
      <c r="E9" s="46" t="s">
        <v>53</v>
      </c>
      <c r="F9" s="35" t="s">
        <v>54</v>
      </c>
      <c r="G9" s="12" t="s">
        <v>55</v>
      </c>
      <c r="H9" s="12" t="s">
        <v>56</v>
      </c>
      <c r="I9" s="12">
        <v>2021</v>
      </c>
      <c r="J9" s="12">
        <v>1</v>
      </c>
      <c r="K9" s="12" t="s">
        <v>49</v>
      </c>
      <c r="L9" s="38">
        <v>6500</v>
      </c>
      <c r="M9" s="46"/>
      <c r="N9" s="7"/>
      <c r="O9" s="30" t="b">
        <v>0</v>
      </c>
      <c r="P9" s="5" t="b">
        <v>0</v>
      </c>
      <c r="Q9" s="5" t="b">
        <v>1</v>
      </c>
      <c r="R9" s="21" t="b">
        <v>0</v>
      </c>
    </row>
    <row r="10" spans="2:18" x14ac:dyDescent="0.3">
      <c r="B10" s="43" t="s">
        <v>57</v>
      </c>
      <c r="C10" s="44" t="s">
        <v>58</v>
      </c>
      <c r="D10" s="45" t="s">
        <v>59</v>
      </c>
      <c r="E10" s="46" t="s">
        <v>60</v>
      </c>
      <c r="F10" s="35" t="s">
        <v>61</v>
      </c>
      <c r="G10" s="12" t="s">
        <v>62</v>
      </c>
      <c r="H10" s="39" t="s">
        <v>63</v>
      </c>
      <c r="I10" s="12">
        <v>2023</v>
      </c>
      <c r="J10" s="12">
        <v>1</v>
      </c>
      <c r="K10" s="12" t="s">
        <v>64</v>
      </c>
      <c r="L10" s="38">
        <v>3400</v>
      </c>
      <c r="M10" s="46"/>
      <c r="N10" s="7"/>
      <c r="O10" s="30" t="b">
        <v>0</v>
      </c>
      <c r="P10" s="5" t="b">
        <v>0</v>
      </c>
      <c r="Q10" s="5" t="b">
        <v>0</v>
      </c>
      <c r="R10" s="21" t="b">
        <v>0</v>
      </c>
    </row>
    <row r="11" spans="2:18" x14ac:dyDescent="0.3">
      <c r="B11" s="43" t="s">
        <v>65</v>
      </c>
      <c r="C11" s="44" t="s">
        <v>66</v>
      </c>
      <c r="D11" s="45" t="s">
        <v>52</v>
      </c>
      <c r="E11" s="46" t="s">
        <v>67</v>
      </c>
      <c r="F11" s="35" t="s">
        <v>38</v>
      </c>
      <c r="G11" s="12" t="s">
        <v>68</v>
      </c>
      <c r="H11" s="12" t="s">
        <v>69</v>
      </c>
      <c r="I11" s="12">
        <v>2019</v>
      </c>
      <c r="J11" s="12">
        <v>2</v>
      </c>
      <c r="K11" s="12" t="s">
        <v>41</v>
      </c>
      <c r="L11" s="38">
        <v>2350</v>
      </c>
      <c r="M11" s="46"/>
      <c r="N11" s="7"/>
      <c r="O11" s="30" t="b">
        <v>0</v>
      </c>
      <c r="P11" s="5" t="b">
        <v>0</v>
      </c>
      <c r="Q11" s="5" t="b">
        <v>0</v>
      </c>
      <c r="R11" s="21" t="b">
        <v>1</v>
      </c>
    </row>
    <row r="12" spans="2:18" x14ac:dyDescent="0.3">
      <c r="B12" s="43" t="s">
        <v>70</v>
      </c>
      <c r="C12" s="44" t="s">
        <v>71</v>
      </c>
      <c r="D12" s="45" t="s">
        <v>52</v>
      </c>
      <c r="E12" s="46" t="s">
        <v>72</v>
      </c>
      <c r="F12" s="35" t="s">
        <v>46</v>
      </c>
      <c r="G12" s="12" t="s">
        <v>73</v>
      </c>
      <c r="H12" s="12" t="s">
        <v>74</v>
      </c>
      <c r="I12" s="12">
        <v>2018</v>
      </c>
      <c r="J12" s="12">
        <v>1</v>
      </c>
      <c r="K12" s="12" t="s">
        <v>28</v>
      </c>
      <c r="L12" s="38">
        <v>7999</v>
      </c>
      <c r="M12" s="46"/>
      <c r="N12" s="7"/>
      <c r="O12" s="30"/>
      <c r="P12" s="5"/>
      <c r="Q12" s="5"/>
      <c r="R12" s="21"/>
    </row>
    <row r="13" spans="2:18" x14ac:dyDescent="0.3">
      <c r="B13" s="43" t="s">
        <v>83</v>
      </c>
      <c r="C13" s="44" t="s">
        <v>84</v>
      </c>
      <c r="D13" s="45" t="s">
        <v>85</v>
      </c>
      <c r="E13" s="46" t="s">
        <v>53</v>
      </c>
      <c r="F13" s="35" t="str">
        <f t="shared" si="0"/>
        <v/>
      </c>
      <c r="G13" s="12" t="s">
        <v>55</v>
      </c>
      <c r="H13" s="12" t="s">
        <v>86</v>
      </c>
      <c r="I13" s="12">
        <v>2023</v>
      </c>
      <c r="J13" s="12">
        <v>2</v>
      </c>
      <c r="K13" s="12" t="s">
        <v>87</v>
      </c>
      <c r="L13" s="38">
        <v>15</v>
      </c>
      <c r="M13" s="46" t="s">
        <v>88</v>
      </c>
      <c r="N13" s="7"/>
      <c r="O13" s="30"/>
      <c r="P13" s="5"/>
      <c r="Q13" s="5"/>
      <c r="R13" s="21"/>
    </row>
    <row r="14" spans="2:18" x14ac:dyDescent="0.3">
      <c r="B14" s="43"/>
      <c r="C14" s="44"/>
      <c r="D14" s="7"/>
      <c r="E14" s="46"/>
      <c r="F14" s="35" t="str">
        <f t="shared" si="0"/>
        <v/>
      </c>
      <c r="G14" s="12"/>
      <c r="H14" s="12"/>
      <c r="I14" s="12"/>
      <c r="J14" s="12"/>
      <c r="K14" s="12"/>
      <c r="L14" s="38"/>
      <c r="M14" s="46"/>
      <c r="N14" s="7"/>
      <c r="O14" s="30"/>
      <c r="P14" s="5"/>
      <c r="Q14" s="5"/>
      <c r="R14" s="21"/>
    </row>
    <row r="15" spans="2:18" ht="15" thickBot="1" x14ac:dyDescent="0.35">
      <c r="B15" s="47"/>
      <c r="C15" s="48"/>
      <c r="D15" s="49"/>
      <c r="E15" s="50"/>
      <c r="F15" s="51" t="str">
        <f t="shared" si="0"/>
        <v/>
      </c>
      <c r="G15" s="52"/>
      <c r="H15" s="52"/>
      <c r="I15" s="52"/>
      <c r="J15" s="52"/>
      <c r="K15" s="52"/>
      <c r="L15" s="53"/>
      <c r="M15" s="50"/>
      <c r="N15" s="7"/>
      <c r="O15" s="31"/>
      <c r="P15" s="22"/>
      <c r="Q15" s="22"/>
      <c r="R15" s="23"/>
    </row>
  </sheetData>
  <mergeCells count="3">
    <mergeCell ref="B2:E2"/>
    <mergeCell ref="F2:I2"/>
    <mergeCell ref="J2:L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ostrar">
                <anchor moveWithCells="1" sizeWithCells="1">
                  <from>
                    <xdr:col>1</xdr:col>
                    <xdr:colOff>434340</xdr:colOff>
                    <xdr:row>15</xdr:row>
                    <xdr:rowOff>175260</xdr:rowOff>
                  </from>
                  <to>
                    <xdr:col>3</xdr:col>
                    <xdr:colOff>266700</xdr:colOff>
                    <xdr:row>18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9FC36-3EDA-4C2F-B763-4CDD63A714B3}">
  <sheetPr codeName="Planilha7"/>
  <dimension ref="A1:M15"/>
  <sheetViews>
    <sheetView workbookViewId="0">
      <selection activeCell="I1" sqref="I1"/>
    </sheetView>
  </sheetViews>
  <sheetFormatPr defaultRowHeight="14.4" x14ac:dyDescent="0.3"/>
  <cols>
    <col min="4" max="4" width="20.6640625" bestFit="1" customWidth="1"/>
    <col min="5" max="5" width="12.109375" customWidth="1"/>
    <col min="7" max="7" width="9" customWidth="1"/>
    <col min="9" max="9" width="12.109375" bestFit="1" customWidth="1"/>
  </cols>
  <sheetData>
    <row r="1" spans="1:13" x14ac:dyDescent="0.3">
      <c r="A1" s="11">
        <v>1.5299999999999999E-2</v>
      </c>
      <c r="D1" s="18" t="s">
        <v>75</v>
      </c>
      <c r="E1" s="4"/>
      <c r="G1" s="12">
        <v>1</v>
      </c>
      <c r="H1" s="5" t="str">
        <f>Cadastro!B4</f>
        <v>Matheus</v>
      </c>
      <c r="I1" s="6">
        <f>VLOOKUP(H1,Cadastro!B4:L15,11,FALSE)</f>
        <v>499</v>
      </c>
      <c r="J1" s="10"/>
      <c r="L1">
        <v>1</v>
      </c>
      <c r="M1">
        <v>1</v>
      </c>
    </row>
    <row r="2" spans="1:13" x14ac:dyDescent="0.3">
      <c r="D2" s="13"/>
      <c r="E2" s="13"/>
      <c r="G2" s="12">
        <v>2</v>
      </c>
      <c r="H2" s="5" t="str">
        <f>Cadastro!B5</f>
        <v>Karina</v>
      </c>
      <c r="I2" s="6">
        <f>VLOOKUP(H2,Cadastro!B5:L16,11,FALSE)</f>
        <v>9999</v>
      </c>
      <c r="J2" s="10"/>
    </row>
    <row r="3" spans="1:13" x14ac:dyDescent="0.3">
      <c r="D3" s="17" t="s">
        <v>17</v>
      </c>
      <c r="E3" s="14">
        <f>VLOOKUP(L1,G1:I15,3,FALSE)</f>
        <v>499</v>
      </c>
      <c r="G3" s="12">
        <v>3</v>
      </c>
      <c r="H3" s="5" t="str">
        <f>Cadastro!B6</f>
        <v>Vitória</v>
      </c>
      <c r="I3" s="6">
        <f>VLOOKUP(H3,Cadastro!B6:L17,11,FALSE)</f>
        <v>599</v>
      </c>
      <c r="J3" s="10"/>
    </row>
    <row r="4" spans="1:13" x14ac:dyDescent="0.3">
      <c r="A4" s="9"/>
      <c r="D4" s="13"/>
      <c r="E4" s="13"/>
      <c r="G4" s="12">
        <v>4</v>
      </c>
      <c r="H4" s="15" t="str">
        <f>Cadastro!B7</f>
        <v>Micael</v>
      </c>
      <c r="I4" s="6">
        <f>IFERROR(VLOOKUP(H4,Cadastro!B7:L18,11,FALSE),"")</f>
        <v>783</v>
      </c>
      <c r="J4" s="10"/>
    </row>
    <row r="5" spans="1:13" x14ac:dyDescent="0.3">
      <c r="D5" s="19" t="s">
        <v>76</v>
      </c>
      <c r="E5" s="13"/>
      <c r="G5" s="12">
        <v>5</v>
      </c>
      <c r="H5" s="5" t="str">
        <f>Cadastro!B8</f>
        <v>Vanessa</v>
      </c>
      <c r="I5" s="6">
        <f>IFERROR(VLOOKUP(H5,Cadastro!B8:L19,11,FALSE),"")</f>
        <v>8000</v>
      </c>
      <c r="J5" s="10"/>
    </row>
    <row r="6" spans="1:13" x14ac:dyDescent="0.3">
      <c r="D6" s="13"/>
      <c r="E6" s="13"/>
      <c r="G6" s="12">
        <v>6</v>
      </c>
      <c r="H6" s="5" t="str">
        <f>Cadastro!B9</f>
        <v>Tarcísio</v>
      </c>
      <c r="I6" s="6">
        <f>IFERROR(VLOOKUP(H6,Cadastro!B9:L20,11,FALSE),"")</f>
        <v>6500</v>
      </c>
      <c r="J6" s="10"/>
    </row>
    <row r="7" spans="1:13" x14ac:dyDescent="0.3">
      <c r="D7" s="13"/>
      <c r="E7" s="14">
        <f>IF(M1=1,E3,"")</f>
        <v>499</v>
      </c>
      <c r="G7" s="12">
        <v>7</v>
      </c>
      <c r="H7" s="5" t="str">
        <f>Cadastro!B10</f>
        <v>Heitor</v>
      </c>
      <c r="I7" s="6">
        <f>IFERROR(VLOOKUP(H7,Cadastro!B10:L21,11,FALSE),"")</f>
        <v>3400</v>
      </c>
      <c r="J7" s="10"/>
    </row>
    <row r="8" spans="1:13" x14ac:dyDescent="0.3">
      <c r="D8" s="13"/>
      <c r="E8" s="14"/>
      <c r="G8" s="12">
        <v>8</v>
      </c>
      <c r="H8" s="5" t="str">
        <f>Cadastro!B11</f>
        <v>Marcos</v>
      </c>
      <c r="I8" s="6">
        <f>IFERROR(VLOOKUP(H8,Cadastro!B11:L22,11,FALSE),"")</f>
        <v>2350</v>
      </c>
      <c r="J8" s="10"/>
    </row>
    <row r="9" spans="1:13" x14ac:dyDescent="0.3">
      <c r="D9" s="13"/>
      <c r="E9" s="14" t="str">
        <f>IF(M1=2,PMT(A1,12,-E3,,1),"")</f>
        <v/>
      </c>
      <c r="G9" s="12">
        <v>9</v>
      </c>
      <c r="H9" s="5" t="str">
        <f>Cadastro!B12</f>
        <v>Juliana</v>
      </c>
      <c r="I9" s="6">
        <f>IFERROR(VLOOKUP(H9,Cadastro!B12:L23,11,FALSE),"")</f>
        <v>7999</v>
      </c>
      <c r="J9" s="10"/>
    </row>
    <row r="10" spans="1:13" x14ac:dyDescent="0.3">
      <c r="D10" s="13"/>
      <c r="E10" s="13"/>
      <c r="G10" s="12">
        <v>10</v>
      </c>
      <c r="H10" s="5" t="str">
        <f>Cadastro!B13</f>
        <v>Ana Luiza</v>
      </c>
      <c r="I10" s="6">
        <f>IFERROR(VLOOKUP(H10,Cadastro!B13:L24,11,FALSE),"")</f>
        <v>15</v>
      </c>
      <c r="J10" s="10"/>
    </row>
    <row r="11" spans="1:13" ht="15" thickBot="1" x14ac:dyDescent="0.35">
      <c r="D11" s="16" t="s">
        <v>77</v>
      </c>
      <c r="E11" s="8" t="str">
        <f>IF(E3&gt;4000,"Sim","Não")</f>
        <v>Não</v>
      </c>
      <c r="G11" s="12">
        <v>11</v>
      </c>
      <c r="H11" s="5">
        <f>Cadastro!B14</f>
        <v>0</v>
      </c>
      <c r="I11" s="6" t="str">
        <f>IFERROR(VLOOKUP(H11,Cadastro!B14:L25,11,FALSE),"")</f>
        <v/>
      </c>
      <c r="J11" s="10"/>
    </row>
    <row r="12" spans="1:13" x14ac:dyDescent="0.3">
      <c r="G12" s="12">
        <v>12</v>
      </c>
      <c r="H12" s="5">
        <f>Cadastro!B15</f>
        <v>0</v>
      </c>
      <c r="I12" s="6" t="str">
        <f>IFERROR(VLOOKUP(H12,Cadastro!B15:L26,11,FALSE),"")</f>
        <v/>
      </c>
      <c r="J12" s="10"/>
    </row>
    <row r="13" spans="1:13" x14ac:dyDescent="0.3">
      <c r="G13" s="12">
        <v>13</v>
      </c>
      <c r="H13" s="5">
        <f>Cadastro!B16</f>
        <v>0</v>
      </c>
      <c r="I13" s="6" t="str">
        <f>IFERROR(VLOOKUP(H13,Cadastro!B16:L27,11,FALSE),"")</f>
        <v/>
      </c>
      <c r="J13" s="10"/>
    </row>
    <row r="14" spans="1:13" x14ac:dyDescent="0.3">
      <c r="G14" s="12">
        <v>14</v>
      </c>
      <c r="H14" s="5">
        <f>Cadastro!B17</f>
        <v>0</v>
      </c>
      <c r="I14" s="6" t="str">
        <f>IFERROR(VLOOKUP(H14,Cadastro!B17:L28,11,FALSE),"")</f>
        <v/>
      </c>
      <c r="J14" s="10"/>
    </row>
    <row r="15" spans="1:13" x14ac:dyDescent="0.3">
      <c r="G15" s="12">
        <v>15</v>
      </c>
      <c r="H15" s="5">
        <f>Cadastro!B18</f>
        <v>0</v>
      </c>
      <c r="I15" s="6" t="str">
        <f>IFERROR(VLOOKUP(H15,Cadastro!B18:L29,11,FALSE),"")</f>
        <v/>
      </c>
      <c r="J15" s="10"/>
      <c r="K15" t="str">
        <f>IFERROR(VLOOKUP(H15,Cadastro!B18:N29,13,FALSE),"")</f>
        <v/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Option Button 1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160020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Option Button 2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175260</xdr:rowOff>
                  </from>
                  <to>
                    <xdr:col>3</xdr:col>
                    <xdr:colOff>1074420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Drop Down 4">
              <controlPr defaultSize="0" autoLine="0" autoPict="0">
                <anchor moveWithCells="1">
                  <from>
                    <xdr:col>4</xdr:col>
                    <xdr:colOff>0</xdr:colOff>
                    <xdr:row>0</xdr:row>
                    <xdr:rowOff>7620</xdr:rowOff>
                  </from>
                  <to>
                    <xdr:col>5</xdr:col>
                    <xdr:colOff>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2D809-F5A3-4D1E-9B75-7EF20A2237D8}">
  <sheetPr codeName="Planilha4"/>
  <dimension ref="A1:D20"/>
  <sheetViews>
    <sheetView topLeftCell="B1" workbookViewId="0">
      <selection activeCell="I25" sqref="I25"/>
    </sheetView>
  </sheetViews>
  <sheetFormatPr defaultRowHeight="14.4" x14ac:dyDescent="0.3"/>
  <cols>
    <col min="1" max="1" width="17.33203125" bestFit="1" customWidth="1"/>
    <col min="2" max="2" width="18.88671875" bestFit="1" customWidth="1"/>
    <col min="3" max="3" width="13.33203125" bestFit="1" customWidth="1"/>
    <col min="4" max="4" width="12.33203125" bestFit="1" customWidth="1"/>
  </cols>
  <sheetData>
    <row r="1" spans="1:4" x14ac:dyDescent="0.3">
      <c r="A1" s="2" t="s">
        <v>78</v>
      </c>
      <c r="B1" t="s">
        <v>79</v>
      </c>
      <c r="C1" t="s">
        <v>80</v>
      </c>
      <c r="D1" t="s">
        <v>81</v>
      </c>
    </row>
    <row r="2" spans="1:4" x14ac:dyDescent="0.3">
      <c r="A2" s="3" t="s">
        <v>26</v>
      </c>
      <c r="B2">
        <v>1</v>
      </c>
      <c r="C2">
        <v>9999</v>
      </c>
      <c r="D2">
        <v>2020</v>
      </c>
    </row>
    <row r="3" spans="1:4" x14ac:dyDescent="0.3">
      <c r="A3" s="57" t="s">
        <v>46</v>
      </c>
      <c r="B3">
        <v>1</v>
      </c>
      <c r="C3">
        <v>9999</v>
      </c>
      <c r="D3">
        <v>2020</v>
      </c>
    </row>
    <row r="4" spans="1:4" x14ac:dyDescent="0.3">
      <c r="A4" s="3" t="s">
        <v>21</v>
      </c>
      <c r="B4">
        <v>2</v>
      </c>
      <c r="C4">
        <v>499</v>
      </c>
      <c r="D4">
        <v>2020</v>
      </c>
    </row>
    <row r="5" spans="1:4" x14ac:dyDescent="0.3">
      <c r="A5" s="57" t="s">
        <v>61</v>
      </c>
      <c r="B5">
        <v>2</v>
      </c>
      <c r="C5">
        <v>499</v>
      </c>
      <c r="D5">
        <v>2020</v>
      </c>
    </row>
    <row r="6" spans="1:4" x14ac:dyDescent="0.3">
      <c r="A6" s="3" t="s">
        <v>39</v>
      </c>
      <c r="B6">
        <v>4</v>
      </c>
      <c r="C6">
        <v>783</v>
      </c>
      <c r="D6">
        <v>2020</v>
      </c>
    </row>
    <row r="7" spans="1:4" x14ac:dyDescent="0.3">
      <c r="A7" s="57" t="s">
        <v>38</v>
      </c>
      <c r="B7">
        <v>4</v>
      </c>
      <c r="C7">
        <v>783</v>
      </c>
      <c r="D7">
        <v>2020</v>
      </c>
    </row>
    <row r="8" spans="1:4" x14ac:dyDescent="0.3">
      <c r="A8" s="3" t="s">
        <v>73</v>
      </c>
      <c r="B8">
        <v>1</v>
      </c>
      <c r="C8">
        <v>79999</v>
      </c>
      <c r="D8">
        <v>2018</v>
      </c>
    </row>
    <row r="9" spans="1:4" x14ac:dyDescent="0.3">
      <c r="A9" s="57" t="s">
        <v>46</v>
      </c>
      <c r="B9">
        <v>1</v>
      </c>
      <c r="C9">
        <v>79999</v>
      </c>
      <c r="D9">
        <v>2018</v>
      </c>
    </row>
    <row r="10" spans="1:4" x14ac:dyDescent="0.3">
      <c r="A10" s="3" t="s">
        <v>47</v>
      </c>
      <c r="B10">
        <v>2</v>
      </c>
      <c r="C10">
        <v>8000</v>
      </c>
      <c r="D10">
        <v>2022</v>
      </c>
    </row>
    <row r="11" spans="1:4" x14ac:dyDescent="0.3">
      <c r="A11" s="57" t="s">
        <v>46</v>
      </c>
      <c r="B11">
        <v>2</v>
      </c>
      <c r="C11">
        <v>8000</v>
      </c>
      <c r="D11">
        <v>2022</v>
      </c>
    </row>
    <row r="12" spans="1:4" x14ac:dyDescent="0.3">
      <c r="A12" s="3" t="s">
        <v>68</v>
      </c>
      <c r="B12">
        <v>2</v>
      </c>
      <c r="C12">
        <v>2350</v>
      </c>
      <c r="D12">
        <v>2019</v>
      </c>
    </row>
    <row r="13" spans="1:4" x14ac:dyDescent="0.3">
      <c r="A13" s="57" t="s">
        <v>38</v>
      </c>
      <c r="B13">
        <v>2</v>
      </c>
      <c r="C13">
        <v>2350</v>
      </c>
      <c r="D13">
        <v>2019</v>
      </c>
    </row>
    <row r="14" spans="1:4" x14ac:dyDescent="0.3">
      <c r="A14" s="3" t="s">
        <v>62</v>
      </c>
      <c r="B14">
        <v>1</v>
      </c>
      <c r="C14">
        <v>3400</v>
      </c>
      <c r="D14">
        <v>2023</v>
      </c>
    </row>
    <row r="15" spans="1:4" x14ac:dyDescent="0.3">
      <c r="A15" s="57" t="s">
        <v>61</v>
      </c>
      <c r="B15">
        <v>1</v>
      </c>
      <c r="C15">
        <v>3400</v>
      </c>
      <c r="D15">
        <v>2023</v>
      </c>
    </row>
    <row r="16" spans="1:4" x14ac:dyDescent="0.3">
      <c r="A16" s="3" t="s">
        <v>31</v>
      </c>
      <c r="B16">
        <v>2</v>
      </c>
      <c r="C16">
        <v>599</v>
      </c>
      <c r="D16">
        <v>2021</v>
      </c>
    </row>
    <row r="17" spans="1:4" x14ac:dyDescent="0.3">
      <c r="A17" s="57" t="s">
        <v>54</v>
      </c>
      <c r="B17">
        <v>2</v>
      </c>
      <c r="C17">
        <v>599</v>
      </c>
      <c r="D17">
        <v>2021</v>
      </c>
    </row>
    <row r="18" spans="1:4" x14ac:dyDescent="0.3">
      <c r="A18" s="3" t="s">
        <v>55</v>
      </c>
      <c r="B18">
        <v>1</v>
      </c>
      <c r="C18">
        <v>65000</v>
      </c>
      <c r="D18">
        <v>2021</v>
      </c>
    </row>
    <row r="19" spans="1:4" x14ac:dyDescent="0.3">
      <c r="A19" s="57" t="s">
        <v>54</v>
      </c>
      <c r="B19">
        <v>1</v>
      </c>
      <c r="C19">
        <v>65000</v>
      </c>
      <c r="D19">
        <v>2021</v>
      </c>
    </row>
    <row r="20" spans="1:4" x14ac:dyDescent="0.3">
      <c r="A20" s="3" t="s">
        <v>82</v>
      </c>
      <c r="B20">
        <v>16</v>
      </c>
      <c r="C20">
        <v>170629</v>
      </c>
      <c r="D20">
        <v>18184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6F3EA-76F4-4026-830A-999ED1094DBD}">
  <sheetPr codeName="Planilha3"/>
  <dimension ref="A2:D58"/>
  <sheetViews>
    <sheetView topLeftCell="A27" zoomScale="54" workbookViewId="0">
      <selection activeCell="I53" sqref="I53"/>
    </sheetView>
  </sheetViews>
  <sheetFormatPr defaultRowHeight="14.4" x14ac:dyDescent="0.3"/>
  <cols>
    <col min="1" max="1" width="25" bestFit="1" customWidth="1"/>
    <col min="2" max="2" width="13.44140625" bestFit="1" customWidth="1"/>
    <col min="3" max="3" width="19.33203125" bestFit="1" customWidth="1"/>
    <col min="4" max="4" width="12.33203125" bestFit="1" customWidth="1"/>
  </cols>
  <sheetData>
    <row r="2" spans="1:4" ht="15" thickBot="1" x14ac:dyDescent="0.35"/>
    <row r="3" spans="1:4" ht="15" thickBot="1" x14ac:dyDescent="0.35">
      <c r="A3" s="62" t="s">
        <v>78</v>
      </c>
      <c r="B3" s="1" t="s">
        <v>80</v>
      </c>
      <c r="C3" t="s">
        <v>79</v>
      </c>
      <c r="D3" t="s">
        <v>81</v>
      </c>
    </row>
    <row r="4" spans="1:4" x14ac:dyDescent="0.3">
      <c r="A4" s="3" t="s">
        <v>57</v>
      </c>
      <c r="B4">
        <v>3400</v>
      </c>
      <c r="C4">
        <v>1</v>
      </c>
      <c r="D4">
        <v>2023</v>
      </c>
    </row>
    <row r="5" spans="1:4" x14ac:dyDescent="0.3">
      <c r="A5" s="57" t="s">
        <v>61</v>
      </c>
      <c r="B5">
        <v>3400</v>
      </c>
      <c r="C5">
        <v>1</v>
      </c>
      <c r="D5">
        <v>2023</v>
      </c>
    </row>
    <row r="6" spans="1:4" x14ac:dyDescent="0.3">
      <c r="A6" s="58" t="s">
        <v>62</v>
      </c>
      <c r="B6">
        <v>3400</v>
      </c>
      <c r="C6">
        <v>1</v>
      </c>
      <c r="D6">
        <v>2023</v>
      </c>
    </row>
    <row r="7" spans="1:4" x14ac:dyDescent="0.3">
      <c r="A7" s="59" t="s">
        <v>63</v>
      </c>
      <c r="B7">
        <v>3400</v>
      </c>
      <c r="C7">
        <v>1</v>
      </c>
      <c r="D7">
        <v>2023</v>
      </c>
    </row>
    <row r="8" spans="1:4" x14ac:dyDescent="0.3">
      <c r="A8" s="60" t="s">
        <v>64</v>
      </c>
      <c r="B8">
        <v>3400</v>
      </c>
      <c r="C8">
        <v>1</v>
      </c>
      <c r="D8">
        <v>2023</v>
      </c>
    </row>
    <row r="9" spans="1:4" x14ac:dyDescent="0.3">
      <c r="A9" s="61" t="s">
        <v>58</v>
      </c>
      <c r="B9">
        <v>3400</v>
      </c>
      <c r="C9">
        <v>1</v>
      </c>
      <c r="D9">
        <v>2023</v>
      </c>
    </row>
    <row r="10" spans="1:4" x14ac:dyDescent="0.3">
      <c r="A10" s="3" t="s">
        <v>70</v>
      </c>
      <c r="B10">
        <v>79999</v>
      </c>
      <c r="C10">
        <v>1</v>
      </c>
      <c r="D10">
        <v>2018</v>
      </c>
    </row>
    <row r="11" spans="1:4" x14ac:dyDescent="0.3">
      <c r="A11" s="57" t="s">
        <v>46</v>
      </c>
      <c r="B11">
        <v>79999</v>
      </c>
      <c r="C11">
        <v>1</v>
      </c>
      <c r="D11">
        <v>2018</v>
      </c>
    </row>
    <row r="12" spans="1:4" x14ac:dyDescent="0.3">
      <c r="A12" s="58" t="s">
        <v>73</v>
      </c>
      <c r="B12">
        <v>79999</v>
      </c>
      <c r="C12">
        <v>1</v>
      </c>
      <c r="D12">
        <v>2018</v>
      </c>
    </row>
    <row r="13" spans="1:4" x14ac:dyDescent="0.3">
      <c r="A13" s="59" t="s">
        <v>74</v>
      </c>
      <c r="B13">
        <v>79999</v>
      </c>
      <c r="C13">
        <v>1</v>
      </c>
      <c r="D13">
        <v>2018</v>
      </c>
    </row>
    <row r="14" spans="1:4" x14ac:dyDescent="0.3">
      <c r="A14" s="60" t="s">
        <v>28</v>
      </c>
      <c r="B14">
        <v>79999</v>
      </c>
      <c r="C14">
        <v>1</v>
      </c>
      <c r="D14">
        <v>2018</v>
      </c>
    </row>
    <row r="15" spans="1:4" x14ac:dyDescent="0.3">
      <c r="A15" s="61" t="s">
        <v>71</v>
      </c>
      <c r="B15">
        <v>79999</v>
      </c>
      <c r="C15">
        <v>1</v>
      </c>
      <c r="D15">
        <v>2018</v>
      </c>
    </row>
    <row r="16" spans="1:4" x14ac:dyDescent="0.3">
      <c r="A16" s="3" t="s">
        <v>24</v>
      </c>
      <c r="B16">
        <v>9999</v>
      </c>
      <c r="C16">
        <v>1</v>
      </c>
      <c r="D16">
        <v>2020</v>
      </c>
    </row>
    <row r="17" spans="1:4" x14ac:dyDescent="0.3">
      <c r="A17" s="57" t="s">
        <v>46</v>
      </c>
      <c r="B17">
        <v>9999</v>
      </c>
      <c r="C17">
        <v>1</v>
      </c>
      <c r="D17">
        <v>2020</v>
      </c>
    </row>
    <row r="18" spans="1:4" x14ac:dyDescent="0.3">
      <c r="A18" s="58" t="s">
        <v>26</v>
      </c>
      <c r="B18">
        <v>9999</v>
      </c>
      <c r="C18">
        <v>1</v>
      </c>
      <c r="D18">
        <v>2020</v>
      </c>
    </row>
    <row r="19" spans="1:4" x14ac:dyDescent="0.3">
      <c r="A19" s="59" t="s">
        <v>27</v>
      </c>
      <c r="B19">
        <v>9999</v>
      </c>
      <c r="C19">
        <v>1</v>
      </c>
      <c r="D19">
        <v>2020</v>
      </c>
    </row>
    <row r="20" spans="1:4" x14ac:dyDescent="0.3">
      <c r="A20" s="60" t="s">
        <v>28</v>
      </c>
      <c r="B20">
        <v>9999</v>
      </c>
      <c r="C20">
        <v>1</v>
      </c>
      <c r="D20">
        <v>2020</v>
      </c>
    </row>
    <row r="21" spans="1:4" x14ac:dyDescent="0.3">
      <c r="A21" s="61">
        <v>987358145</v>
      </c>
      <c r="B21">
        <v>9999</v>
      </c>
      <c r="C21">
        <v>1</v>
      </c>
      <c r="D21">
        <v>2020</v>
      </c>
    </row>
    <row r="22" spans="1:4" x14ac:dyDescent="0.3">
      <c r="A22" s="3" t="s">
        <v>65</v>
      </c>
      <c r="B22">
        <v>2350</v>
      </c>
      <c r="C22">
        <v>2</v>
      </c>
      <c r="D22">
        <v>2019</v>
      </c>
    </row>
    <row r="23" spans="1:4" x14ac:dyDescent="0.3">
      <c r="A23" s="57" t="s">
        <v>38</v>
      </c>
      <c r="B23">
        <v>2350</v>
      </c>
      <c r="C23">
        <v>2</v>
      </c>
      <c r="D23">
        <v>2019</v>
      </c>
    </row>
    <row r="24" spans="1:4" x14ac:dyDescent="0.3">
      <c r="A24" s="58" t="s">
        <v>68</v>
      </c>
      <c r="B24">
        <v>2350</v>
      </c>
      <c r="C24">
        <v>2</v>
      </c>
      <c r="D24">
        <v>2019</v>
      </c>
    </row>
    <row r="25" spans="1:4" x14ac:dyDescent="0.3">
      <c r="A25" s="59" t="s">
        <v>69</v>
      </c>
      <c r="B25">
        <v>2350</v>
      </c>
      <c r="C25">
        <v>2</v>
      </c>
      <c r="D25">
        <v>2019</v>
      </c>
    </row>
    <row r="26" spans="1:4" x14ac:dyDescent="0.3">
      <c r="A26" s="60" t="s">
        <v>41</v>
      </c>
      <c r="B26">
        <v>2350</v>
      </c>
      <c r="C26">
        <v>2</v>
      </c>
      <c r="D26">
        <v>2019</v>
      </c>
    </row>
    <row r="27" spans="1:4" x14ac:dyDescent="0.3">
      <c r="A27" s="61" t="s">
        <v>66</v>
      </c>
      <c r="B27">
        <v>2350</v>
      </c>
      <c r="C27">
        <v>2</v>
      </c>
      <c r="D27">
        <v>2019</v>
      </c>
    </row>
    <row r="28" spans="1:4" x14ac:dyDescent="0.3">
      <c r="A28" s="3" t="s">
        <v>19</v>
      </c>
      <c r="B28">
        <v>499</v>
      </c>
      <c r="C28">
        <v>2</v>
      </c>
      <c r="D28">
        <v>2020</v>
      </c>
    </row>
    <row r="29" spans="1:4" x14ac:dyDescent="0.3">
      <c r="A29" s="57" t="s">
        <v>61</v>
      </c>
      <c r="B29">
        <v>499</v>
      </c>
      <c r="C29">
        <v>2</v>
      </c>
      <c r="D29">
        <v>2020</v>
      </c>
    </row>
    <row r="30" spans="1:4" x14ac:dyDescent="0.3">
      <c r="A30" s="58" t="s">
        <v>21</v>
      </c>
      <c r="B30">
        <v>499</v>
      </c>
      <c r="C30">
        <v>2</v>
      </c>
      <c r="D30">
        <v>2020</v>
      </c>
    </row>
    <row r="31" spans="1:4" x14ac:dyDescent="0.3">
      <c r="A31" s="59" t="s">
        <v>22</v>
      </c>
      <c r="B31">
        <v>499</v>
      </c>
      <c r="C31">
        <v>2</v>
      </c>
      <c r="D31">
        <v>2020</v>
      </c>
    </row>
    <row r="32" spans="1:4" x14ac:dyDescent="0.3">
      <c r="A32" s="60" t="s">
        <v>23</v>
      </c>
      <c r="B32">
        <v>499</v>
      </c>
      <c r="C32">
        <v>2</v>
      </c>
      <c r="D32">
        <v>2020</v>
      </c>
    </row>
    <row r="33" spans="1:4" x14ac:dyDescent="0.3">
      <c r="A33" s="61">
        <v>444455555</v>
      </c>
      <c r="B33">
        <v>499</v>
      </c>
      <c r="C33">
        <v>2</v>
      </c>
      <c r="D33">
        <v>2020</v>
      </c>
    </row>
    <row r="34" spans="1:4" x14ac:dyDescent="0.3">
      <c r="A34" s="3" t="s">
        <v>34</v>
      </c>
      <c r="B34">
        <v>783</v>
      </c>
      <c r="C34">
        <v>4</v>
      </c>
      <c r="D34">
        <v>2020</v>
      </c>
    </row>
    <row r="35" spans="1:4" x14ac:dyDescent="0.3">
      <c r="A35" s="57" t="s">
        <v>38</v>
      </c>
      <c r="B35">
        <v>783</v>
      </c>
      <c r="C35">
        <v>4</v>
      </c>
      <c r="D35">
        <v>2020</v>
      </c>
    </row>
    <row r="36" spans="1:4" x14ac:dyDescent="0.3">
      <c r="A36" s="58" t="s">
        <v>39</v>
      </c>
      <c r="B36">
        <v>783</v>
      </c>
      <c r="C36">
        <v>4</v>
      </c>
      <c r="D36">
        <v>2020</v>
      </c>
    </row>
    <row r="37" spans="1:4" x14ac:dyDescent="0.3">
      <c r="A37" s="59" t="s">
        <v>40</v>
      </c>
      <c r="B37">
        <v>783</v>
      </c>
      <c r="C37">
        <v>4</v>
      </c>
      <c r="D37">
        <v>2020</v>
      </c>
    </row>
    <row r="38" spans="1:4" x14ac:dyDescent="0.3">
      <c r="A38" s="60" t="s">
        <v>41</v>
      </c>
      <c r="B38">
        <v>783</v>
      </c>
      <c r="C38">
        <v>4</v>
      </c>
      <c r="D38">
        <v>2020</v>
      </c>
    </row>
    <row r="39" spans="1:4" x14ac:dyDescent="0.3">
      <c r="A39" s="61" t="s">
        <v>35</v>
      </c>
      <c r="B39">
        <v>783</v>
      </c>
      <c r="C39">
        <v>4</v>
      </c>
      <c r="D39">
        <v>2020</v>
      </c>
    </row>
    <row r="40" spans="1:4" x14ac:dyDescent="0.3">
      <c r="A40" s="3" t="s">
        <v>50</v>
      </c>
      <c r="B40">
        <v>65000</v>
      </c>
      <c r="C40">
        <v>1</v>
      </c>
      <c r="D40">
        <v>2021</v>
      </c>
    </row>
    <row r="41" spans="1:4" x14ac:dyDescent="0.3">
      <c r="A41" s="57" t="s">
        <v>54</v>
      </c>
      <c r="B41">
        <v>65000</v>
      </c>
      <c r="C41">
        <v>1</v>
      </c>
      <c r="D41">
        <v>2021</v>
      </c>
    </row>
    <row r="42" spans="1:4" x14ac:dyDescent="0.3">
      <c r="A42" s="58" t="s">
        <v>55</v>
      </c>
      <c r="B42">
        <v>65000</v>
      </c>
      <c r="C42">
        <v>1</v>
      </c>
      <c r="D42">
        <v>2021</v>
      </c>
    </row>
    <row r="43" spans="1:4" x14ac:dyDescent="0.3">
      <c r="A43" s="59" t="s">
        <v>56</v>
      </c>
      <c r="B43">
        <v>65000</v>
      </c>
      <c r="C43">
        <v>1</v>
      </c>
      <c r="D43">
        <v>2021</v>
      </c>
    </row>
    <row r="44" spans="1:4" x14ac:dyDescent="0.3">
      <c r="A44" s="60" t="s">
        <v>49</v>
      </c>
      <c r="B44">
        <v>65000</v>
      </c>
      <c r="C44">
        <v>1</v>
      </c>
      <c r="D44">
        <v>2021</v>
      </c>
    </row>
    <row r="45" spans="1:4" x14ac:dyDescent="0.3">
      <c r="A45" s="61" t="s">
        <v>51</v>
      </c>
      <c r="B45">
        <v>65000</v>
      </c>
      <c r="C45">
        <v>1</v>
      </c>
      <c r="D45">
        <v>2021</v>
      </c>
    </row>
    <row r="46" spans="1:4" x14ac:dyDescent="0.3">
      <c r="A46" s="3" t="s">
        <v>42</v>
      </c>
      <c r="B46">
        <v>8000</v>
      </c>
      <c r="C46">
        <v>2</v>
      </c>
      <c r="D46">
        <v>2022</v>
      </c>
    </row>
    <row r="47" spans="1:4" x14ac:dyDescent="0.3">
      <c r="A47" s="57" t="s">
        <v>46</v>
      </c>
      <c r="B47">
        <v>8000</v>
      </c>
      <c r="C47">
        <v>2</v>
      </c>
      <c r="D47">
        <v>2022</v>
      </c>
    </row>
    <row r="48" spans="1:4" x14ac:dyDescent="0.3">
      <c r="A48" s="58" t="s">
        <v>47</v>
      </c>
      <c r="B48">
        <v>8000</v>
      </c>
      <c r="C48">
        <v>2</v>
      </c>
      <c r="D48">
        <v>2022</v>
      </c>
    </row>
    <row r="49" spans="1:4" x14ac:dyDescent="0.3">
      <c r="A49" s="59" t="s">
        <v>48</v>
      </c>
      <c r="B49">
        <v>8000</v>
      </c>
      <c r="C49">
        <v>2</v>
      </c>
      <c r="D49">
        <v>2022</v>
      </c>
    </row>
    <row r="50" spans="1:4" x14ac:dyDescent="0.3">
      <c r="A50" s="60" t="s">
        <v>49</v>
      </c>
      <c r="B50">
        <v>8000</v>
      </c>
      <c r="C50">
        <v>2</v>
      </c>
      <c r="D50">
        <v>2022</v>
      </c>
    </row>
    <row r="51" spans="1:4" x14ac:dyDescent="0.3">
      <c r="A51" s="61" t="s">
        <v>43</v>
      </c>
      <c r="B51">
        <v>8000</v>
      </c>
      <c r="C51">
        <v>2</v>
      </c>
      <c r="D51">
        <v>2022</v>
      </c>
    </row>
    <row r="52" spans="1:4" x14ac:dyDescent="0.3">
      <c r="A52" s="3" t="s">
        <v>29</v>
      </c>
      <c r="B52">
        <v>599</v>
      </c>
      <c r="C52">
        <v>2</v>
      </c>
      <c r="D52">
        <v>2021</v>
      </c>
    </row>
    <row r="53" spans="1:4" x14ac:dyDescent="0.3">
      <c r="A53" s="57" t="s">
        <v>54</v>
      </c>
      <c r="B53">
        <v>599</v>
      </c>
      <c r="C53">
        <v>2</v>
      </c>
      <c r="D53">
        <v>2021</v>
      </c>
    </row>
    <row r="54" spans="1:4" x14ac:dyDescent="0.3">
      <c r="A54" s="58" t="s">
        <v>31</v>
      </c>
      <c r="B54">
        <v>599</v>
      </c>
      <c r="C54">
        <v>2</v>
      </c>
      <c r="D54">
        <v>2021</v>
      </c>
    </row>
    <row r="55" spans="1:4" x14ac:dyDescent="0.3">
      <c r="A55" s="59" t="s">
        <v>32</v>
      </c>
      <c r="B55">
        <v>599</v>
      </c>
      <c r="C55">
        <v>2</v>
      </c>
      <c r="D55">
        <v>2021</v>
      </c>
    </row>
    <row r="56" spans="1:4" x14ac:dyDescent="0.3">
      <c r="A56" s="60" t="s">
        <v>33</v>
      </c>
      <c r="B56">
        <v>599</v>
      </c>
      <c r="C56">
        <v>2</v>
      </c>
      <c r="D56">
        <v>2021</v>
      </c>
    </row>
    <row r="57" spans="1:4" x14ac:dyDescent="0.3">
      <c r="A57" s="61">
        <v>987355846</v>
      </c>
      <c r="B57">
        <v>599</v>
      </c>
      <c r="C57">
        <v>2</v>
      </c>
      <c r="D57">
        <v>2021</v>
      </c>
    </row>
    <row r="58" spans="1:4" x14ac:dyDescent="0.3">
      <c r="A58" s="3" t="s">
        <v>82</v>
      </c>
      <c r="B58">
        <v>170629</v>
      </c>
      <c r="C58">
        <v>16</v>
      </c>
      <c r="D58">
        <v>18184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TabelaDinâmica</vt:lpstr>
      <vt:lpstr>Cadastro</vt:lpstr>
      <vt:lpstr>Pagamento</vt:lpstr>
      <vt:lpstr>Gráfico</vt:lpstr>
      <vt:lpstr>Tabela Dinâmica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DEV2B-1</dc:creator>
  <cp:keywords/>
  <dc:description/>
  <cp:lastModifiedBy>Matheus Lucindo</cp:lastModifiedBy>
  <cp:revision/>
  <dcterms:created xsi:type="dcterms:W3CDTF">2023-03-23T14:07:21Z</dcterms:created>
  <dcterms:modified xsi:type="dcterms:W3CDTF">2023-05-03T13:36:54Z</dcterms:modified>
  <cp:category/>
  <cp:contentStatus/>
</cp:coreProperties>
</file>